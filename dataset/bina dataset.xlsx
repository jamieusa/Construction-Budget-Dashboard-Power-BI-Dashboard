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ieus-my.sharepoint.com/personal/jamilaagazada_jamieus_onmicrosoft_com/Documents/Desktop/excel data/A TASK/"/>
    </mc:Choice>
  </mc:AlternateContent>
  <xr:revisionPtr revIDLastSave="1" documentId="13_ncr:1_{4ABB3344-6F99-4BF0-952B-4726B3B7B0EC}" xr6:coauthVersionLast="47" xr6:coauthVersionMax="47" xr10:uidLastSave="{D45992B0-90BC-4D9B-8E00-7ABE5CAF99BE}"/>
  <bookViews>
    <workbookView xWindow="-120" yWindow="-120" windowWidth="29040" windowHeight="15720" tabRatio="906" activeTab="4" xr2:uid="{7A60B007-8703-49DF-9FFF-27A2CAB35BAF}"/>
  </bookViews>
  <sheets>
    <sheet name="Project_Info" sheetId="1" r:id="rId1"/>
    <sheet name="Cost_Details" sheetId="2" r:id="rId2"/>
    <sheet name="Planned_Cost_Details" sheetId="5" r:id="rId3"/>
    <sheet name="Project_Timeline" sheetId="3" r:id="rId4"/>
    <sheet name="Weekly_Progres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4" l="1"/>
  <c r="E57" i="4"/>
  <c r="E58" i="4" s="1"/>
  <c r="B11" i="1"/>
  <c r="B10" i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2" i="4"/>
  <c r="E8" i="3"/>
  <c r="E7" i="3"/>
  <c r="E6" i="3"/>
  <c r="E5" i="3"/>
  <c r="E4" i="3"/>
  <c r="E3" i="3"/>
  <c r="B7" i="1"/>
  <c r="F31" i="2"/>
  <c r="D53" i="4"/>
  <c r="D54" i="4"/>
  <c r="D55" i="4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58" i="4" l="1"/>
  <c r="E59" i="4"/>
  <c r="E2" i="4"/>
  <c r="E3" i="4" s="1"/>
  <c r="E4" i="4" s="1"/>
  <c r="F59" i="4" l="1"/>
  <c r="E60" i="4"/>
  <c r="E5" i="4"/>
  <c r="F60" i="4" l="1"/>
  <c r="E61" i="4"/>
  <c r="E6" i="4"/>
  <c r="F61" i="4" l="1"/>
  <c r="E62" i="4"/>
  <c r="E7" i="4"/>
  <c r="F62" i="4" l="1"/>
  <c r="E63" i="4"/>
  <c r="E8" i="4"/>
  <c r="E64" i="4" l="1"/>
  <c r="F63" i="4"/>
  <c r="E9" i="4"/>
  <c r="E65" i="4" l="1"/>
  <c r="F64" i="4"/>
  <c r="E10" i="4"/>
  <c r="F65" i="4" l="1"/>
  <c r="E66" i="4"/>
  <c r="E11" i="4"/>
  <c r="F66" i="4" l="1"/>
  <c r="E67" i="4"/>
  <c r="E12" i="4"/>
  <c r="F67" i="4" l="1"/>
  <c r="E68" i="4"/>
  <c r="E13" i="4"/>
  <c r="E69" i="4" l="1"/>
  <c r="F68" i="4"/>
  <c r="E14" i="4"/>
  <c r="F69" i="4" l="1"/>
  <c r="E70" i="4"/>
  <c r="E15" i="4"/>
  <c r="E71" i="4" l="1"/>
  <c r="F70" i="4"/>
  <c r="E16" i="4"/>
  <c r="E72" i="4" l="1"/>
  <c r="F71" i="4"/>
  <c r="E17" i="4"/>
  <c r="E73" i="4" l="1"/>
  <c r="F72" i="4"/>
  <c r="E18" i="4"/>
  <c r="F73" i="4" l="1"/>
  <c r="E74" i="4"/>
  <c r="E19" i="4"/>
  <c r="F74" i="4" l="1"/>
  <c r="E75" i="4"/>
  <c r="E20" i="4"/>
  <c r="F75" i="4" l="1"/>
  <c r="E76" i="4"/>
  <c r="E21" i="4"/>
  <c r="E77" i="4" l="1"/>
  <c r="F76" i="4"/>
  <c r="E22" i="4"/>
  <c r="E78" i="4" l="1"/>
  <c r="F77" i="4"/>
  <c r="E23" i="4"/>
  <c r="F78" i="4" l="1"/>
  <c r="E79" i="4"/>
  <c r="F79" i="4" s="1"/>
  <c r="E24" i="4"/>
  <c r="E25" i="4" l="1"/>
  <c r="E26" i="4" l="1"/>
  <c r="E27" i="4" l="1"/>
  <c r="E28" i="4" l="1"/>
  <c r="E29" i="4" l="1"/>
  <c r="E30" i="4" l="1"/>
  <c r="E31" i="4" l="1"/>
  <c r="E32" i="4" l="1"/>
  <c r="E33" i="4" l="1"/>
  <c r="E34" i="4" l="1"/>
  <c r="E35" i="4" l="1"/>
  <c r="E36" i="4" l="1"/>
  <c r="E37" i="4" l="1"/>
  <c r="E38" i="4" l="1"/>
  <c r="E39" i="4" l="1"/>
  <c r="E40" i="4" l="1"/>
  <c r="E41" i="4" l="1"/>
  <c r="E42" i="4" l="1"/>
  <c r="E43" i="4" l="1"/>
  <c r="E44" i="4" l="1"/>
  <c r="E45" i="4" l="1"/>
  <c r="E46" i="4" l="1"/>
  <c r="E47" i="4" l="1"/>
  <c r="E48" i="4" l="1"/>
  <c r="E49" i="4" l="1"/>
  <c r="E50" i="4" l="1"/>
  <c r="E51" i="4" l="1"/>
  <c r="E52" i="4" l="1"/>
  <c r="E53" i="4" l="1"/>
  <c r="E54" i="4" s="1"/>
  <c r="E55" i="4" s="1"/>
</calcChain>
</file>

<file path=xl/sharedStrings.xml><?xml version="1.0" encoding="utf-8"?>
<sst xmlns="http://schemas.openxmlformats.org/spreadsheetml/2006/main" count="229" uniqueCount="170">
  <si>
    <t>Parametr</t>
  </si>
  <si>
    <t>Dəyər</t>
  </si>
  <si>
    <t>Blok sayı</t>
  </si>
  <si>
    <t>Mərtəbə sayı</t>
  </si>
  <si>
    <t>Mənzil sayı</t>
  </si>
  <si>
    <t>Mənzil sahəsi (m²)</t>
  </si>
  <si>
    <t>Ümumi sahə (m²)</t>
  </si>
  <si>
    <t>Ümumi büdcə (AZN)</t>
  </si>
  <si>
    <t>Kateqoriya</t>
  </si>
  <si>
    <t>Alt_Material</t>
  </si>
  <si>
    <t>Ölçü_Vahidi</t>
  </si>
  <si>
    <t>Miqdar</t>
  </si>
  <si>
    <t>Vahid_Qiymət_AZN</t>
  </si>
  <si>
    <t>Cəmi_AZN</t>
  </si>
  <si>
    <t>m³</t>
  </si>
  <si>
    <t>Armatur A500C</t>
  </si>
  <si>
    <t>ton</t>
  </si>
  <si>
    <t>m²</t>
  </si>
  <si>
    <t>ədəd</t>
  </si>
  <si>
    <t>Fasad</t>
  </si>
  <si>
    <t>Daxili işlər</t>
  </si>
  <si>
    <t>Layihə adı</t>
  </si>
  <si>
    <t>Tikinti seqmenti</t>
  </si>
  <si>
    <t>Premium</t>
  </si>
  <si>
    <t>1 m² maya dəyəri (AZN)</t>
  </si>
  <si>
    <t>1 mənzilə düşən xərc (AZN)</t>
  </si>
  <si>
    <t>Torpaq və özül</t>
  </si>
  <si>
    <t>Torpaq qazıntısı</t>
  </si>
  <si>
    <t>B30 Beton (özül)</t>
  </si>
  <si>
    <t>Hidroizolyasiya</t>
  </si>
  <si>
    <t>Karkas konstruksiya</t>
  </si>
  <si>
    <t>B25 Beton (sütun, tavan)</t>
  </si>
  <si>
    <t>Kalıp sistemləri</t>
  </si>
  <si>
    <t>Divar və hörgü</t>
  </si>
  <si>
    <t>Qazobeton blok</t>
  </si>
  <si>
    <t>Daxili arakəsmələr</t>
  </si>
  <si>
    <t>Şüşə fasad sistemi</t>
  </si>
  <si>
    <t>Kompozit üzlük</t>
  </si>
  <si>
    <t>Fasad izolyasiyası</t>
  </si>
  <si>
    <t>Dam</t>
  </si>
  <si>
    <t>Dam izolyasiyası</t>
  </si>
  <si>
    <t>Dam örtüyü</t>
  </si>
  <si>
    <t>Elektrik (MEP)</t>
  </si>
  <si>
    <t>Elektrik kabelləri</t>
  </si>
  <si>
    <t>Generator sistemi</t>
  </si>
  <si>
    <t>Zəif axın sistemləri</t>
  </si>
  <si>
    <t>Santexnika (MEP)</t>
  </si>
  <si>
    <t>Su və kanalizasiya boruları</t>
  </si>
  <si>
    <t>Yanğın söndürmə sistemi</t>
  </si>
  <si>
    <t>Lift və vertikal nəqliyyat</t>
  </si>
  <si>
    <t>Premium lift sistemləri</t>
  </si>
  <si>
    <t>Suvaq + astar</t>
  </si>
  <si>
    <t>Boya (premium)</t>
  </si>
  <si>
    <t>Qapılar (daxili)</t>
  </si>
  <si>
    <t>Ümumi sahələr</t>
  </si>
  <si>
    <t>Lobby və koridorlar</t>
  </si>
  <si>
    <t>paket</t>
  </si>
  <si>
    <t>Landşaft və həyət</t>
  </si>
  <si>
    <t>Əmək və idarəetmə</t>
  </si>
  <si>
    <t>İşçi qüvvəsi</t>
  </si>
  <si>
    <t>Texnika və mexanizmlər</t>
  </si>
  <si>
    <t>Layihələndirmə və dizayn</t>
  </si>
  <si>
    <t>Rəsmi xərclər</t>
  </si>
  <si>
    <t>İcazələr və rüsumlar</t>
  </si>
  <si>
    <t>Ehtiyat fond</t>
  </si>
  <si>
    <t>Risk və gözlənilməz xərclər</t>
  </si>
  <si>
    <t>Phase_ID</t>
  </si>
  <si>
    <t>Mərhələ_Adi</t>
  </si>
  <si>
    <t>Baslama_Tarixi</t>
  </si>
  <si>
    <t>Bitme_Tarixi</t>
  </si>
  <si>
    <t>Plan_Progress_%</t>
  </si>
  <si>
    <t>Faktiki_Progress_%</t>
  </si>
  <si>
    <t>P01</t>
  </si>
  <si>
    <t>Torpaq və özül işləri</t>
  </si>
  <si>
    <t>P02</t>
  </si>
  <si>
    <t>P03</t>
  </si>
  <si>
    <t>P04</t>
  </si>
  <si>
    <t>Fasad işləri</t>
  </si>
  <si>
    <t>P05</t>
  </si>
  <si>
    <t>Elektrik və santexnika (MEP)</t>
  </si>
  <si>
    <t>P06</t>
  </si>
  <si>
    <t>P07</t>
  </si>
  <si>
    <t>Landşaft və ümumi sahələr</t>
  </si>
  <si>
    <t>Week</t>
  </si>
  <si>
    <t>Week_Start</t>
  </si>
  <si>
    <t>Week_No</t>
  </si>
  <si>
    <t>Planned_Progress_%</t>
  </si>
  <si>
    <t>Actual_Progress_%</t>
  </si>
  <si>
    <t>SPI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</si>
  <si>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</si>
  <si>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</si>
  <si>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</si>
  <si>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</si>
  <si>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</si>
  <si>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</si>
  <si>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</si>
  <si>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</si>
  <si>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</si>
  <si>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</si>
  <si>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</si>
  <si>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</si>
  <si>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</si>
  <si>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</si>
  <si>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</si>
  <si>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</si>
  <si>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</si>
  <si>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</si>
  <si>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</si>
  <si>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</si>
  <si>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</si>
  <si>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</si>
  <si>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</si>
  <si>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</si>
  <si>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</si>
  <si>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</si>
  <si>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</si>
  <si>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</si>
  <si>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</si>
  <si>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</si>
  <si>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</si>
  <si>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</si>
  <si>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</si>
  <si>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</si>
  <si>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</si>
  <si>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</si>
  <si>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</si>
  <si>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</si>
  <si>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</si>
  <si>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</si>
  <si>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</si>
  <si>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</si>
  <si>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</si>
  <si>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</si>
  <si>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</si>
  <si>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</si>
  <si>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</si>
  <si>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</si>
  <si>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</si>
  <si>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</si>
  <si>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</si>
  <si>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</si>
  <si>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</si>
  <si>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</si>
  <si>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Planned_Cost_AZN</t>
  </si>
  <si>
    <t>Döşəmə (keramika/ parket)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</si>
  <si>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</si>
  <si>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</si>
  <si>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</si>
  <si>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</si>
  <si>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</si>
  <si>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</si>
  <si>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</si>
  <si>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</si>
  <si>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</si>
  <si>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</si>
  <si>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</si>
  <si>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</si>
  <si>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</si>
  <si>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</si>
  <si>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</si>
  <si>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</si>
  <si>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</si>
  <si>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</si>
  <si>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</si>
  <si>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</si>
  <si>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</si>
  <si>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</si>
  <si>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</si>
  <si>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</si>
  <si>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A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</si>
</sst>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9"/>
      <color rgb="FF000000"/>
      <name val="Consolas"/>
      <family val="3"/>
      <charset val="204"/>
    </font>
    <font>
      <sz val="9"/>
      <color rgb="FF3165BB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3" fontId="2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28575</xdr:rowOff>
    </xdr:from>
    <xdr:to>
      <xdr:col>7</xdr:col>
      <xdr:colOff>428625</xdr:colOff>
      <xdr:row>8</xdr:row>
      <xdr:rowOff>95251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1DDEFD7-3DC6-4C15-AFE0-733A1D68977B}"/>
            </a:ext>
          </a:extLst>
        </xdr:cNvPr>
        <xdr:cNvSpPr txBox="1">
          <a:spLocks noChangeArrowheads="1"/>
        </xdr:cNvSpPr>
      </xdr:nvSpPr>
      <xdr:spPr bwMode="auto">
        <a:xfrm>
          <a:off x="4829175" y="409575"/>
          <a:ext cx="2933700" cy="120967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ru-RU" sz="2000" b="0" i="0" u="none" strike="noStrike" baseline="0">
              <a:solidFill>
                <a:srgbClr val="000000"/>
              </a:solidFill>
              <a:latin typeface="Aptos Narrow"/>
            </a:rPr>
            <a:t>📌 Layihə müddəti:</a:t>
          </a:r>
          <a:endParaRPr lang="en-US" sz="20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ru-RU" sz="2000" b="0" i="0" u="none" strike="noStrike" baseline="0">
              <a:solidFill>
                <a:srgbClr val="000000"/>
              </a:solidFill>
              <a:latin typeface="Aptos Narrow"/>
            </a:rPr>
            <a:t>🟢 Başlanğıc: 01.01.2025</a:t>
          </a:r>
        </a:p>
        <a:p>
          <a:pPr algn="l" rtl="0">
            <a:defRPr sz="1000"/>
          </a:pPr>
          <a:r>
            <a:rPr lang="ru-RU" sz="2000" b="0" i="0" u="none" strike="noStrike" baseline="0">
              <a:solidFill>
                <a:srgbClr val="000000"/>
              </a:solidFill>
              <a:latin typeface="Aptos Narrow"/>
            </a:rPr>
            <a:t>🔵 Plan bitiş: 30.06.2026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4C03D9-2620-44B9-8457-277062F6477C}" name="Table2" displayName="Table2" ref="A1:B11" totalsRowShown="0" headerRowDxfId="18">
  <autoFilter ref="A1:B11" xr:uid="{024C03D9-2620-44B9-8457-277062F6477C}"/>
  <tableColumns count="2">
    <tableColumn id="1" xr3:uid="{FAB31CAA-EA46-4745-AE65-7B7FFA36226B}" name="Parametr" dataDxfId="17"/>
    <tableColumn id="2" xr3:uid="{E457D60A-B9E1-4ACB-B22D-BFC475C44DC1}" name="Dəyər" dataDxfId="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05C-44A4-4643-8718-6F3BC9313061}" name="Table1" displayName="Table1" ref="A1:F31" totalsRowShown="0" headerRowDxfId="15" dataDxfId="14">
  <autoFilter ref="A1:F31" xr:uid="{8BD4F05C-44A4-4643-8718-6F3BC9313061}"/>
  <tableColumns count="6">
    <tableColumn id="1" xr3:uid="{7990B313-0883-47D7-97E4-028D49DFAF91}" name="Kateqoriya" dataDxfId="13"/>
    <tableColumn id="2" xr3:uid="{39DFC88B-2D30-44F3-B0F0-B3FBA121C513}" name="Alt_Material" dataDxfId="12"/>
    <tableColumn id="3" xr3:uid="{04BE1E98-5A2B-4A61-BB66-E14DBA2C8D78}" name="Ölçü_Vahidi" dataDxfId="11"/>
    <tableColumn id="4" xr3:uid="{018F3E07-C8FA-4F1E-8227-14D6BA3992B0}" name="Miqdar" dataDxfId="10"/>
    <tableColumn id="5" xr3:uid="{06F6FC9A-44CB-4329-A96C-ADC5B03CFA5D}" name="Vahid_Qiymət_AZN" dataDxfId="9"/>
    <tableColumn id="6" xr3:uid="{81EDD423-A11D-4680-A2C8-08A827EB9143}" name="Cəmi_AZN" dataDxfId="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1A4DB3-A03B-4658-8B32-2D30F223250A}" name="Table3" displayName="Table3" ref="A1:F8" totalsRowShown="0" headerRowDxfId="7" dataDxfId="6">
  <autoFilter ref="A1:F8" xr:uid="{0F1A4DB3-A03B-4658-8B32-2D30F223250A}"/>
  <tableColumns count="6">
    <tableColumn id="1" xr3:uid="{4B75140C-1FBE-4FF7-874D-40E7D461C24F}" name="Phase_ID" dataDxfId="5"/>
    <tableColumn id="2" xr3:uid="{34BD4823-A1F6-463A-9E4D-2286EB1A674F}" name="Mərhələ_Adi" dataDxfId="4"/>
    <tableColumn id="3" xr3:uid="{049018E6-C481-4DBA-985D-717E57CC6D53}" name="Baslama_Tarixi" dataDxfId="3"/>
    <tableColumn id="4" xr3:uid="{E54D35F9-433C-4CDF-89B4-BDDBD0C40C46}" name="Bitme_Tarixi" dataDxfId="2"/>
    <tableColumn id="5" xr3:uid="{9C590D60-F3F9-4DFF-A826-4940F6AE157D}" name="Plan_Progress_%" dataDxfId="1"/>
    <tableColumn id="6" xr3:uid="{56521183-DD08-420B-8C08-8D322DD78872}" name="Faktiki_Progress_%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D229-17D0-4B75-906C-EF49BC1844B1}">
  <dimension ref="A1:B11"/>
  <sheetViews>
    <sheetView zoomScale="112" zoomScaleNormal="112" workbookViewId="0">
      <selection activeCell="B12" sqref="B12"/>
    </sheetView>
  </sheetViews>
  <sheetFormatPr defaultRowHeight="15" x14ac:dyDescent="0.25"/>
  <cols>
    <col min="1" max="1" width="25" bestFit="1" customWidth="1"/>
    <col min="2" max="2" width="39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21</v>
      </c>
      <c r="B2" s="6" t="s">
        <v>169</v>
      </c>
    </row>
    <row r="3" spans="1:2" x14ac:dyDescent="0.25">
      <c r="A3" s="3" t="s">
        <v>2</v>
      </c>
      <c r="B3" s="3">
        <v>3</v>
      </c>
    </row>
    <row r="4" spans="1:2" x14ac:dyDescent="0.25">
      <c r="A4" s="3" t="s">
        <v>3</v>
      </c>
      <c r="B4" s="3">
        <v>20</v>
      </c>
    </row>
    <row r="5" spans="1:2" x14ac:dyDescent="0.25">
      <c r="A5" s="3" t="s">
        <v>4</v>
      </c>
      <c r="B5" s="3">
        <v>120</v>
      </c>
    </row>
    <row r="6" spans="1:2" x14ac:dyDescent="0.25">
      <c r="A6" s="3" t="s">
        <v>5</v>
      </c>
      <c r="B6" s="3">
        <v>100</v>
      </c>
    </row>
    <row r="7" spans="1:2" x14ac:dyDescent="0.25">
      <c r="A7" s="3" t="s">
        <v>6</v>
      </c>
      <c r="B7" s="4">
        <f>B6*B5</f>
        <v>12000</v>
      </c>
    </row>
    <row r="8" spans="1:2" x14ac:dyDescent="0.25">
      <c r="A8" s="3" t="s">
        <v>22</v>
      </c>
      <c r="B8" s="6" t="s">
        <v>23</v>
      </c>
    </row>
    <row r="9" spans="1:2" x14ac:dyDescent="0.25">
      <c r="A9" s="3" t="s">
        <v>7</v>
      </c>
      <c r="B9" s="7">
        <v>26000000</v>
      </c>
    </row>
    <row r="10" spans="1:2" x14ac:dyDescent="0.25">
      <c r="A10" s="3" t="s">
        <v>24</v>
      </c>
      <c r="B10" s="7">
        <f>ROUND(B9/B7,0)</f>
        <v>2167</v>
      </c>
    </row>
    <row r="11" spans="1:2" x14ac:dyDescent="0.25">
      <c r="A11" s="3" t="s">
        <v>25</v>
      </c>
      <c r="B11" s="7">
        <f>ROUND(B9/B5,0)</f>
        <v>216667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C6B9-A159-48DF-82FD-B62F0DAD44A1}">
  <dimension ref="A1:L33"/>
  <sheetViews>
    <sheetView workbookViewId="0">
      <selection activeCell="H23" sqref="H23"/>
    </sheetView>
  </sheetViews>
  <sheetFormatPr defaultRowHeight="15" x14ac:dyDescent="0.25"/>
  <cols>
    <col min="1" max="1" width="22.85546875" bestFit="1" customWidth="1"/>
    <col min="2" max="2" width="25" bestFit="1" customWidth="1"/>
    <col min="3" max="3" width="13.7109375" customWidth="1"/>
    <col min="4" max="4" width="9.28515625" customWidth="1"/>
    <col min="5" max="5" width="20" customWidth="1"/>
    <col min="6" max="6" width="12.42578125" customWidth="1"/>
    <col min="8" max="8" width="23.7109375" bestFit="1" customWidth="1"/>
    <col min="9" max="9" width="21.42578125" bestFit="1" customWidth="1"/>
    <col min="10" max="10" width="17.28515625" bestFit="1" customWidth="1"/>
  </cols>
  <sheetData>
    <row r="1" spans="1:12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12" x14ac:dyDescent="0.25">
      <c r="A2" s="5" t="s">
        <v>26</v>
      </c>
      <c r="B2" s="3" t="s">
        <v>27</v>
      </c>
      <c r="C2" s="3" t="s">
        <v>14</v>
      </c>
      <c r="D2" s="3">
        <v>18000</v>
      </c>
      <c r="E2" s="3">
        <v>18</v>
      </c>
      <c r="F2" s="3">
        <v>324000</v>
      </c>
    </row>
    <row r="3" spans="1:12" x14ac:dyDescent="0.25">
      <c r="A3" s="3" t="s">
        <v>26</v>
      </c>
      <c r="B3" s="3" t="s">
        <v>28</v>
      </c>
      <c r="C3" s="3" t="s">
        <v>14</v>
      </c>
      <c r="D3" s="3">
        <v>6200</v>
      </c>
      <c r="E3" s="3">
        <v>140</v>
      </c>
      <c r="F3" s="3">
        <v>868000</v>
      </c>
    </row>
    <row r="4" spans="1:12" x14ac:dyDescent="0.25">
      <c r="A4" s="3" t="s">
        <v>26</v>
      </c>
      <c r="B4" s="3" t="s">
        <v>29</v>
      </c>
      <c r="C4" s="3" t="s">
        <v>17</v>
      </c>
      <c r="D4" s="3">
        <v>5200</v>
      </c>
      <c r="E4" s="3">
        <v>22</v>
      </c>
      <c r="F4" s="3">
        <v>114400</v>
      </c>
      <c r="I4" s="12"/>
    </row>
    <row r="5" spans="1:12" x14ac:dyDescent="0.25">
      <c r="A5" s="5" t="s">
        <v>30</v>
      </c>
      <c r="B5" s="3" t="s">
        <v>31</v>
      </c>
      <c r="C5" s="3" t="s">
        <v>14</v>
      </c>
      <c r="D5" s="3">
        <v>14500</v>
      </c>
      <c r="E5" s="3">
        <v>125</v>
      </c>
      <c r="F5" s="3">
        <v>1812500</v>
      </c>
    </row>
    <row r="6" spans="1:12" x14ac:dyDescent="0.25">
      <c r="A6" s="3" t="s">
        <v>30</v>
      </c>
      <c r="B6" s="3" t="s">
        <v>15</v>
      </c>
      <c r="C6" s="3" t="s">
        <v>16</v>
      </c>
      <c r="D6" s="3">
        <v>720</v>
      </c>
      <c r="E6" s="3">
        <v>1450</v>
      </c>
      <c r="F6" s="3">
        <v>1044000</v>
      </c>
    </row>
    <row r="7" spans="1:12" x14ac:dyDescent="0.25">
      <c r="A7" s="3" t="s">
        <v>30</v>
      </c>
      <c r="B7" s="3" t="s">
        <v>32</v>
      </c>
      <c r="C7" s="3" t="s">
        <v>17</v>
      </c>
      <c r="D7" s="3">
        <v>22000</v>
      </c>
      <c r="E7" s="3">
        <v>38</v>
      </c>
      <c r="F7" s="3">
        <v>836000</v>
      </c>
    </row>
    <row r="8" spans="1:12" x14ac:dyDescent="0.25">
      <c r="A8" s="5" t="s">
        <v>33</v>
      </c>
      <c r="B8" s="3" t="s">
        <v>34</v>
      </c>
      <c r="C8" s="3" t="s">
        <v>14</v>
      </c>
      <c r="D8" s="3">
        <v>4200</v>
      </c>
      <c r="E8" s="3">
        <v>110</v>
      </c>
      <c r="F8" s="3">
        <v>462000</v>
      </c>
    </row>
    <row r="9" spans="1:12" x14ac:dyDescent="0.25">
      <c r="A9" s="3" t="s">
        <v>33</v>
      </c>
      <c r="B9" s="3" t="s">
        <v>35</v>
      </c>
      <c r="C9" s="3" t="s">
        <v>17</v>
      </c>
      <c r="D9" s="3">
        <v>14000</v>
      </c>
      <c r="E9" s="3">
        <v>35</v>
      </c>
      <c r="F9" s="3">
        <v>490000</v>
      </c>
    </row>
    <row r="10" spans="1:12" x14ac:dyDescent="0.25">
      <c r="A10" s="5" t="s">
        <v>19</v>
      </c>
      <c r="B10" s="3" t="s">
        <v>36</v>
      </c>
      <c r="C10" s="3" t="s">
        <v>17</v>
      </c>
      <c r="D10" s="3">
        <v>8200</v>
      </c>
      <c r="E10" s="3">
        <v>210</v>
      </c>
      <c r="F10" s="3">
        <v>1722000</v>
      </c>
    </row>
    <row r="11" spans="1:12" x14ac:dyDescent="0.25">
      <c r="A11" s="3" t="s">
        <v>19</v>
      </c>
      <c r="B11" s="3" t="s">
        <v>37</v>
      </c>
      <c r="C11" s="3" t="s">
        <v>17</v>
      </c>
      <c r="D11" s="3">
        <v>3600</v>
      </c>
      <c r="E11" s="3">
        <v>180</v>
      </c>
      <c r="F11" s="3">
        <v>648000</v>
      </c>
    </row>
    <row r="12" spans="1:12" x14ac:dyDescent="0.25">
      <c r="A12" s="3" t="s">
        <v>19</v>
      </c>
      <c r="B12" s="3" t="s">
        <v>38</v>
      </c>
      <c r="C12" s="3" t="s">
        <v>17</v>
      </c>
      <c r="D12" s="3">
        <v>11800</v>
      </c>
      <c r="E12" s="3">
        <v>42</v>
      </c>
      <c r="F12" s="3">
        <v>495600</v>
      </c>
    </row>
    <row r="13" spans="1:12" x14ac:dyDescent="0.25">
      <c r="A13" s="5" t="s">
        <v>39</v>
      </c>
      <c r="B13" s="3" t="s">
        <v>40</v>
      </c>
      <c r="C13" s="3" t="s">
        <v>17</v>
      </c>
      <c r="D13" s="3">
        <v>2600</v>
      </c>
      <c r="E13" s="3">
        <v>55</v>
      </c>
      <c r="F13" s="3">
        <v>143000</v>
      </c>
    </row>
    <row r="14" spans="1:12" x14ac:dyDescent="0.25">
      <c r="A14" s="3" t="s">
        <v>39</v>
      </c>
      <c r="B14" s="3" t="s">
        <v>41</v>
      </c>
      <c r="C14" s="3" t="s">
        <v>17</v>
      </c>
      <c r="D14" s="3">
        <v>2600</v>
      </c>
      <c r="E14" s="3">
        <v>75</v>
      </c>
      <c r="F14" s="3">
        <v>195000</v>
      </c>
      <c r="L14" s="10"/>
    </row>
    <row r="15" spans="1:12" x14ac:dyDescent="0.25">
      <c r="A15" s="5" t="s">
        <v>42</v>
      </c>
      <c r="B15" s="3" t="s">
        <v>43</v>
      </c>
      <c r="C15" s="3" t="s">
        <v>17</v>
      </c>
      <c r="D15" s="3">
        <v>12000</v>
      </c>
      <c r="E15" s="3">
        <v>65</v>
      </c>
      <c r="F15" s="3">
        <v>780000</v>
      </c>
      <c r="L15" s="11"/>
    </row>
    <row r="16" spans="1:12" x14ac:dyDescent="0.25">
      <c r="A16" s="3" t="s">
        <v>42</v>
      </c>
      <c r="B16" s="3" t="s">
        <v>44</v>
      </c>
      <c r="C16" s="3" t="s">
        <v>18</v>
      </c>
      <c r="D16" s="3">
        <v>1</v>
      </c>
      <c r="E16" s="3">
        <v>380000</v>
      </c>
      <c r="F16" s="3">
        <v>380000</v>
      </c>
      <c r="L16" s="10"/>
    </row>
    <row r="17" spans="1:12" x14ac:dyDescent="0.25">
      <c r="A17" s="3" t="s">
        <v>42</v>
      </c>
      <c r="B17" s="3" t="s">
        <v>45</v>
      </c>
      <c r="C17" s="3" t="s">
        <v>17</v>
      </c>
      <c r="D17" s="3">
        <v>12000</v>
      </c>
      <c r="E17" s="3">
        <v>28</v>
      </c>
      <c r="F17" s="3">
        <v>336000</v>
      </c>
      <c r="L17" s="10"/>
    </row>
    <row r="18" spans="1:12" x14ac:dyDescent="0.25">
      <c r="A18" s="5" t="s">
        <v>46</v>
      </c>
      <c r="B18" s="3" t="s">
        <v>47</v>
      </c>
      <c r="C18" s="3" t="s">
        <v>17</v>
      </c>
      <c r="D18" s="3">
        <v>12000</v>
      </c>
      <c r="E18" s="3">
        <v>58</v>
      </c>
      <c r="F18" s="3">
        <v>696000</v>
      </c>
      <c r="L18" s="10"/>
    </row>
    <row r="19" spans="1:12" x14ac:dyDescent="0.25">
      <c r="A19" s="3" t="s">
        <v>46</v>
      </c>
      <c r="B19" s="3" t="s">
        <v>48</v>
      </c>
      <c r="C19" s="3" t="s">
        <v>17</v>
      </c>
      <c r="D19" s="3">
        <v>12000</v>
      </c>
      <c r="E19" s="3">
        <v>32</v>
      </c>
      <c r="F19" s="3">
        <v>384000</v>
      </c>
      <c r="L19" s="10"/>
    </row>
    <row r="20" spans="1:12" x14ac:dyDescent="0.25">
      <c r="A20" s="5" t="s">
        <v>49</v>
      </c>
      <c r="B20" s="3" t="s">
        <v>50</v>
      </c>
      <c r="C20" s="3" t="s">
        <v>18</v>
      </c>
      <c r="D20" s="3">
        <v>3</v>
      </c>
      <c r="E20" s="3">
        <v>620000</v>
      </c>
      <c r="F20" s="3">
        <v>1860000</v>
      </c>
      <c r="L20" s="10"/>
    </row>
    <row r="21" spans="1:12" x14ac:dyDescent="0.25">
      <c r="A21" s="5" t="s">
        <v>20</v>
      </c>
      <c r="B21" s="3" t="s">
        <v>51</v>
      </c>
      <c r="C21" s="3" t="s">
        <v>17</v>
      </c>
      <c r="D21" s="3">
        <v>12000</v>
      </c>
      <c r="E21" s="3">
        <v>48</v>
      </c>
      <c r="F21" s="3">
        <v>576000</v>
      </c>
      <c r="L21" s="10"/>
    </row>
    <row r="22" spans="1:12" x14ac:dyDescent="0.25">
      <c r="A22" s="3" t="s">
        <v>20</v>
      </c>
      <c r="B22" s="3" t="s">
        <v>52</v>
      </c>
      <c r="C22" s="3" t="s">
        <v>17</v>
      </c>
      <c r="D22" s="3">
        <v>12000</v>
      </c>
      <c r="E22" s="3">
        <v>35</v>
      </c>
      <c r="F22" s="3">
        <v>420000</v>
      </c>
      <c r="L22" s="10"/>
    </row>
    <row r="23" spans="1:12" x14ac:dyDescent="0.25">
      <c r="A23" s="3" t="s">
        <v>20</v>
      </c>
      <c r="B23" s="3" t="s">
        <v>144</v>
      </c>
      <c r="C23" s="3" t="s">
        <v>17</v>
      </c>
      <c r="D23" s="3">
        <v>12000</v>
      </c>
      <c r="E23" s="3">
        <v>95</v>
      </c>
      <c r="F23" s="3">
        <v>1140000</v>
      </c>
      <c r="L23" s="10"/>
    </row>
    <row r="24" spans="1:12" x14ac:dyDescent="0.25">
      <c r="A24" s="3" t="s">
        <v>20</v>
      </c>
      <c r="B24" s="3" t="s">
        <v>53</v>
      </c>
      <c r="C24" s="3" t="s">
        <v>18</v>
      </c>
      <c r="D24" s="3">
        <v>120</v>
      </c>
      <c r="E24" s="3">
        <v>1800</v>
      </c>
      <c r="F24" s="3">
        <v>216000</v>
      </c>
      <c r="L24" s="10"/>
    </row>
    <row r="25" spans="1:12" x14ac:dyDescent="0.25">
      <c r="A25" s="5" t="s">
        <v>54</v>
      </c>
      <c r="B25" s="3" t="s">
        <v>55</v>
      </c>
      <c r="C25" s="3" t="s">
        <v>56</v>
      </c>
      <c r="D25" s="3">
        <v>1</v>
      </c>
      <c r="E25" s="3">
        <v>520000</v>
      </c>
      <c r="F25" s="3">
        <v>520000</v>
      </c>
      <c r="L25" s="10"/>
    </row>
    <row r="26" spans="1:12" x14ac:dyDescent="0.25">
      <c r="A26" s="3" t="s">
        <v>54</v>
      </c>
      <c r="B26" s="3" t="s">
        <v>57</v>
      </c>
      <c r="C26" s="3" t="s">
        <v>56</v>
      </c>
      <c r="D26" s="3">
        <v>1</v>
      </c>
      <c r="E26" s="3">
        <v>460000</v>
      </c>
      <c r="F26" s="3">
        <v>460000</v>
      </c>
      <c r="L26" s="10"/>
    </row>
    <row r="27" spans="1:12" x14ac:dyDescent="0.25">
      <c r="A27" s="5" t="s">
        <v>58</v>
      </c>
      <c r="B27" s="3" t="s">
        <v>59</v>
      </c>
      <c r="C27" s="3" t="s">
        <v>56</v>
      </c>
      <c r="D27" s="3">
        <v>1</v>
      </c>
      <c r="E27" s="3">
        <v>3800000</v>
      </c>
      <c r="F27" s="3">
        <v>3800000</v>
      </c>
      <c r="L27" s="10"/>
    </row>
    <row r="28" spans="1:12" x14ac:dyDescent="0.25">
      <c r="A28" s="3" t="s">
        <v>58</v>
      </c>
      <c r="B28" s="3" t="s">
        <v>60</v>
      </c>
      <c r="C28" s="3" t="s">
        <v>56</v>
      </c>
      <c r="D28" s="3">
        <v>1</v>
      </c>
      <c r="E28" s="3">
        <v>1650000</v>
      </c>
      <c r="F28" s="3">
        <v>1650000</v>
      </c>
      <c r="L28" s="10"/>
    </row>
    <row r="29" spans="1:12" x14ac:dyDescent="0.25">
      <c r="A29" s="3" t="s">
        <v>58</v>
      </c>
      <c r="B29" s="3" t="s">
        <v>61</v>
      </c>
      <c r="C29" s="3" t="s">
        <v>56</v>
      </c>
      <c r="D29" s="3">
        <v>1</v>
      </c>
      <c r="E29" s="3">
        <v>620000</v>
      </c>
      <c r="F29" s="3">
        <v>620000</v>
      </c>
      <c r="L29" s="10"/>
    </row>
    <row r="30" spans="1:12" x14ac:dyDescent="0.25">
      <c r="A30" s="5" t="s">
        <v>62</v>
      </c>
      <c r="B30" s="3" t="s">
        <v>63</v>
      </c>
      <c r="C30" s="3" t="s">
        <v>56</v>
      </c>
      <c r="D30" s="3">
        <v>1</v>
      </c>
      <c r="E30" s="3">
        <v>420000</v>
      </c>
      <c r="F30" s="3">
        <v>420000</v>
      </c>
    </row>
    <row r="31" spans="1:12" x14ac:dyDescent="0.25">
      <c r="A31" s="5" t="s">
        <v>64</v>
      </c>
      <c r="B31" s="3" t="s">
        <v>65</v>
      </c>
      <c r="C31" s="3" t="s">
        <v>56</v>
      </c>
      <c r="D31" s="3">
        <v>1</v>
      </c>
      <c r="E31" s="3">
        <v>1020000</v>
      </c>
      <c r="F31" s="4">
        <f>Project_Info!B9-SUM(Cost_Details!F2:F30)</f>
        <v>2587500</v>
      </c>
    </row>
    <row r="32" spans="1:12" x14ac:dyDescent="0.25">
      <c r="F32" s="1"/>
    </row>
    <row r="33" spans="7:7" x14ac:dyDescent="0.25">
      <c r="G3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5B37-9E6A-450D-9F0F-061BD3586E0D}">
  <dimension ref="A1:B14"/>
  <sheetViews>
    <sheetView workbookViewId="0">
      <selection activeCell="E28" sqref="E28"/>
    </sheetView>
  </sheetViews>
  <sheetFormatPr defaultRowHeight="15" x14ac:dyDescent="0.25"/>
  <cols>
    <col min="1" max="1" width="21.42578125" bestFit="1" customWidth="1"/>
    <col min="2" max="2" width="18.140625" bestFit="1" customWidth="1"/>
  </cols>
  <sheetData>
    <row r="1" spans="1:2" x14ac:dyDescent="0.25">
      <c r="A1" s="2" t="s">
        <v>8</v>
      </c>
      <c r="B1" s="2" t="s">
        <v>143</v>
      </c>
    </row>
    <row r="2" spans="1:2" x14ac:dyDescent="0.25">
      <c r="A2" s="3" t="s">
        <v>30</v>
      </c>
      <c r="B2" s="4">
        <v>7200000</v>
      </c>
    </row>
    <row r="3" spans="1:2" x14ac:dyDescent="0.25">
      <c r="A3" s="3" t="s">
        <v>19</v>
      </c>
      <c r="B3" s="4">
        <v>3600000</v>
      </c>
    </row>
    <row r="4" spans="1:2" x14ac:dyDescent="0.25">
      <c r="A4" s="3" t="s">
        <v>20</v>
      </c>
      <c r="B4" s="4">
        <v>2400000</v>
      </c>
    </row>
    <row r="5" spans="1:2" x14ac:dyDescent="0.25">
      <c r="A5" s="3" t="s">
        <v>26</v>
      </c>
      <c r="B5" s="4">
        <v>2400000</v>
      </c>
    </row>
    <row r="6" spans="1:2" x14ac:dyDescent="0.25">
      <c r="A6" s="3" t="s">
        <v>33</v>
      </c>
      <c r="B6" s="4">
        <v>2400000</v>
      </c>
    </row>
    <row r="7" spans="1:2" x14ac:dyDescent="0.25">
      <c r="A7" s="3" t="s">
        <v>42</v>
      </c>
      <c r="B7" s="4">
        <v>1800000</v>
      </c>
    </row>
    <row r="8" spans="1:2" x14ac:dyDescent="0.25">
      <c r="A8" s="3" t="s">
        <v>46</v>
      </c>
      <c r="B8" s="4">
        <v>1500000</v>
      </c>
    </row>
    <row r="9" spans="1:2" x14ac:dyDescent="0.25">
      <c r="A9" s="3" t="s">
        <v>49</v>
      </c>
      <c r="B9" s="4">
        <v>1200000</v>
      </c>
    </row>
    <row r="10" spans="1:2" x14ac:dyDescent="0.25">
      <c r="A10" s="3" t="s">
        <v>39</v>
      </c>
      <c r="B10" s="4">
        <v>1200000</v>
      </c>
    </row>
    <row r="11" spans="1:2" x14ac:dyDescent="0.25">
      <c r="A11" s="3" t="s">
        <v>54</v>
      </c>
      <c r="B11" s="4">
        <v>1200000</v>
      </c>
    </row>
    <row r="12" spans="1:2" x14ac:dyDescent="0.25">
      <c r="A12" s="3" t="s">
        <v>58</v>
      </c>
      <c r="B12" s="4">
        <v>1200000</v>
      </c>
    </row>
    <row r="13" spans="1:2" x14ac:dyDescent="0.25">
      <c r="A13" s="3" t="s">
        <v>62</v>
      </c>
      <c r="B13" s="4">
        <v>600000</v>
      </c>
    </row>
    <row r="14" spans="1:2" x14ac:dyDescent="0.25">
      <c r="A14" s="3" t="s">
        <v>64</v>
      </c>
      <c r="B14" s="4">
        <v>900000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DBCC-1F7D-48C9-A77E-4D00DA8F7B15}">
  <dimension ref="A1:H8"/>
  <sheetViews>
    <sheetView topLeftCell="B1" workbookViewId="0">
      <selection activeCell="J4" sqref="J4"/>
    </sheetView>
  </sheetViews>
  <sheetFormatPr defaultRowHeight="15" x14ac:dyDescent="0.25"/>
  <cols>
    <col min="1" max="1" width="11.42578125" customWidth="1"/>
    <col min="2" max="2" width="25.85546875" bestFit="1" customWidth="1"/>
    <col min="3" max="3" width="16.28515625" customWidth="1"/>
    <col min="4" max="4" width="14.140625" customWidth="1"/>
    <col min="5" max="5" width="18.140625" customWidth="1"/>
    <col min="6" max="6" width="20.140625" customWidth="1"/>
  </cols>
  <sheetData>
    <row r="1" spans="1:8" x14ac:dyDescent="0.2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spans="1:8" x14ac:dyDescent="0.25">
      <c r="A2" s="3" t="s">
        <v>72</v>
      </c>
      <c r="B2" s="3" t="s">
        <v>73</v>
      </c>
      <c r="C2" s="8">
        <v>45658</v>
      </c>
      <c r="D2" s="8">
        <v>45731</v>
      </c>
      <c r="E2" s="3">
        <v>10</v>
      </c>
      <c r="F2" s="3">
        <v>20</v>
      </c>
      <c r="H2" s="3"/>
    </row>
    <row r="3" spans="1:8" x14ac:dyDescent="0.25">
      <c r="A3" s="3" t="s">
        <v>74</v>
      </c>
      <c r="B3" s="3" t="s">
        <v>30</v>
      </c>
      <c r="C3" s="8">
        <v>45732</v>
      </c>
      <c r="D3" s="8">
        <v>45899</v>
      </c>
      <c r="E3" s="3">
        <f>E2+30</f>
        <v>40</v>
      </c>
      <c r="F3" s="3">
        <v>50</v>
      </c>
      <c r="H3" s="3"/>
    </row>
    <row r="4" spans="1:8" x14ac:dyDescent="0.25">
      <c r="A4" s="3" t="s">
        <v>75</v>
      </c>
      <c r="B4" s="3" t="s">
        <v>33</v>
      </c>
      <c r="C4" s="8">
        <v>45809</v>
      </c>
      <c r="D4" s="8">
        <v>45945</v>
      </c>
      <c r="E4" s="3">
        <f>E3+15</f>
        <v>55</v>
      </c>
      <c r="F4" s="3">
        <v>65</v>
      </c>
      <c r="H4" s="3"/>
    </row>
    <row r="5" spans="1:8" x14ac:dyDescent="0.25">
      <c r="A5" s="3" t="s">
        <v>76</v>
      </c>
      <c r="B5" s="3" t="s">
        <v>77</v>
      </c>
      <c r="C5" s="8">
        <v>45884</v>
      </c>
      <c r="D5" s="8">
        <v>46022</v>
      </c>
      <c r="E5" s="3">
        <f>E4+15</f>
        <v>70</v>
      </c>
      <c r="F5" s="3">
        <v>85</v>
      </c>
      <c r="H5" s="3"/>
    </row>
    <row r="6" spans="1:8" x14ac:dyDescent="0.25">
      <c r="A6" s="3" t="s">
        <v>78</v>
      </c>
      <c r="B6" s="3" t="s">
        <v>79</v>
      </c>
      <c r="C6" s="8">
        <v>45901</v>
      </c>
      <c r="D6" s="8">
        <v>46068</v>
      </c>
      <c r="E6" s="3">
        <f>E5+15</f>
        <v>85</v>
      </c>
      <c r="F6" s="3"/>
      <c r="H6" s="3"/>
    </row>
    <row r="7" spans="1:8" x14ac:dyDescent="0.25">
      <c r="A7" s="3" t="s">
        <v>80</v>
      </c>
      <c r="B7" s="3" t="s">
        <v>20</v>
      </c>
      <c r="C7" s="8">
        <v>45962</v>
      </c>
      <c r="D7" s="8">
        <v>46142</v>
      </c>
      <c r="E7" s="3">
        <f>E6+10</f>
        <v>95</v>
      </c>
      <c r="F7" s="3"/>
      <c r="H7" s="3"/>
    </row>
    <row r="8" spans="1:8" x14ac:dyDescent="0.25">
      <c r="A8" s="3" t="s">
        <v>81</v>
      </c>
      <c r="B8" s="3" t="s">
        <v>82</v>
      </c>
      <c r="C8" s="8">
        <v>46082</v>
      </c>
      <c r="D8" s="8">
        <v>46203</v>
      </c>
      <c r="E8" s="3">
        <f>E7+5</f>
        <v>100</v>
      </c>
      <c r="F8" s="3"/>
      <c r="H8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9541-C44B-4E53-8C4E-D54BA817EAD9}">
  <dimension ref="A1:F79"/>
  <sheetViews>
    <sheetView tabSelected="1" topLeftCell="A45" zoomScaleNormal="100" workbookViewId="0">
      <selection activeCell="E55" sqref="E55:E79"/>
    </sheetView>
  </sheetViews>
  <sheetFormatPr defaultRowHeight="15" x14ac:dyDescent="0.25"/>
  <cols>
    <col min="1" max="1" width="7.85546875" customWidth="1"/>
    <col min="2" max="2" width="12.7109375" style="9" customWidth="1"/>
    <col min="3" max="3" width="11.28515625" customWidth="1"/>
    <col min="4" max="4" width="21.42578125" customWidth="1"/>
    <col min="5" max="5" width="19.7109375" customWidth="1"/>
    <col min="6" max="6" width="5.85546875" customWidth="1"/>
  </cols>
  <sheetData>
    <row r="1" spans="1:6" x14ac:dyDescent="0.25">
      <c r="A1" t="s">
        <v>83</v>
      </c>
      <c r="B1" s="9" t="s">
        <v>84</v>
      </c>
      <c r="C1" t="s">
        <v>85</v>
      </c>
      <c r="D1" t="s">
        <v>86</v>
      </c>
      <c r="E1" t="s">
        <v>87</v>
      </c>
      <c r="F1" t="s">
        <v>88</v>
      </c>
    </row>
    <row r="2" spans="1:6" x14ac:dyDescent="0.25">
      <c r="A2" t="s">
        <v>89</v>
      </c>
      <c r="B2" s="9">
        <f>DATE(2025,1,6)</f>
        <v>45663</v>
      </c>
      <c r="C2">
        <v>1</v>
      </c>
      <c r="D2">
        <f t="shared" ref="D2:D55" si="0">MIN(C2/78*100,100)</f>
        <v>1.2820512820512819</v>
      </c>
      <c r="E2">
        <f>D2</f>
        <v>1.2820512820512819</v>
      </c>
      <c r="F2">
        <f>E2/D2</f>
        <v>1</v>
      </c>
    </row>
    <row r="3" spans="1:6" x14ac:dyDescent="0.25">
      <c r="A3" t="s">
        <v>90</v>
      </c>
      <c r="B3" s="9">
        <f t="shared" ref="B3:B55" si="1">B2+7</f>
        <v>45670</v>
      </c>
      <c r="C3">
        <v>2</v>
      </c>
      <c r="D3">
        <f t="shared" si="0"/>
        <v>2.5641025641025639</v>
      </c>
      <c r="E3">
        <f t="shared" ref="E3:E66" si="2">MAX(IF(C3&lt;=8,D3,IF(C3&lt;=26,D3*0.85,IF(C3&lt;=40,D3*0.9,D3*0.95))),E2)</f>
        <v>2.5641025641025639</v>
      </c>
      <c r="F3">
        <f t="shared" ref="F3:F66" si="3">E3/D3</f>
        <v>1</v>
      </c>
    </row>
    <row r="4" spans="1:6" x14ac:dyDescent="0.25">
      <c r="A4" t="s">
        <v>91</v>
      </c>
      <c r="B4" s="9">
        <f t="shared" si="1"/>
        <v>45677</v>
      </c>
      <c r="C4">
        <v>3</v>
      </c>
      <c r="D4">
        <f t="shared" si="0"/>
        <v>3.8461538461538463</v>
      </c>
      <c r="E4">
        <f t="shared" si="2"/>
        <v>3.8461538461538463</v>
      </c>
      <c r="F4">
        <f t="shared" si="3"/>
        <v>1</v>
      </c>
    </row>
    <row r="5" spans="1:6" x14ac:dyDescent="0.25">
      <c r="A5" t="s">
        <v>92</v>
      </c>
      <c r="B5" s="9">
        <f t="shared" si="1"/>
        <v>45684</v>
      </c>
      <c r="C5">
        <v>4</v>
      </c>
      <c r="D5">
        <f t="shared" si="0"/>
        <v>5.1282051282051277</v>
      </c>
      <c r="E5">
        <f t="shared" si="2"/>
        <v>5.1282051282051277</v>
      </c>
      <c r="F5">
        <f t="shared" si="3"/>
        <v>1</v>
      </c>
    </row>
    <row r="6" spans="1:6" x14ac:dyDescent="0.25">
      <c r="A6" t="s">
        <v>93</v>
      </c>
      <c r="B6" s="9">
        <f t="shared" si="1"/>
        <v>45691</v>
      </c>
      <c r="C6">
        <v>5</v>
      </c>
      <c r="D6">
        <f t="shared" si="0"/>
        <v>6.4102564102564097</v>
      </c>
      <c r="E6">
        <f t="shared" si="2"/>
        <v>6.4102564102564097</v>
      </c>
      <c r="F6">
        <f t="shared" si="3"/>
        <v>1</v>
      </c>
    </row>
    <row r="7" spans="1:6" x14ac:dyDescent="0.25">
      <c r="A7" t="s">
        <v>94</v>
      </c>
      <c r="B7" s="9">
        <f t="shared" si="1"/>
        <v>45698</v>
      </c>
      <c r="C7">
        <v>6</v>
      </c>
      <c r="D7">
        <f t="shared" si="0"/>
        <v>7.6923076923076925</v>
      </c>
      <c r="E7">
        <f t="shared" si="2"/>
        <v>7.6923076923076925</v>
      </c>
      <c r="F7">
        <f t="shared" si="3"/>
        <v>1</v>
      </c>
    </row>
    <row r="8" spans="1:6" x14ac:dyDescent="0.25">
      <c r="A8" t="s">
        <v>95</v>
      </c>
      <c r="B8" s="9">
        <f t="shared" si="1"/>
        <v>45705</v>
      </c>
      <c r="C8">
        <v>7</v>
      </c>
      <c r="D8">
        <f t="shared" si="0"/>
        <v>8.9743589743589745</v>
      </c>
      <c r="E8">
        <f t="shared" si="2"/>
        <v>8.9743589743589745</v>
      </c>
      <c r="F8">
        <f t="shared" si="3"/>
        <v>1</v>
      </c>
    </row>
    <row r="9" spans="1:6" x14ac:dyDescent="0.25">
      <c r="A9" t="s">
        <v>96</v>
      </c>
      <c r="B9" s="9">
        <f t="shared" si="1"/>
        <v>45712</v>
      </c>
      <c r="C9">
        <v>8</v>
      </c>
      <c r="D9">
        <f t="shared" si="0"/>
        <v>10.256410256410255</v>
      </c>
      <c r="E9">
        <f t="shared" si="2"/>
        <v>10.256410256410255</v>
      </c>
      <c r="F9">
        <f t="shared" si="3"/>
        <v>1</v>
      </c>
    </row>
    <row r="10" spans="1:6" x14ac:dyDescent="0.25">
      <c r="A10" t="s">
        <v>97</v>
      </c>
      <c r="B10" s="9">
        <f t="shared" si="1"/>
        <v>45719</v>
      </c>
      <c r="C10">
        <v>9</v>
      </c>
      <c r="D10">
        <f t="shared" si="0"/>
        <v>11.538461538461538</v>
      </c>
      <c r="E10">
        <f t="shared" si="2"/>
        <v>10.256410256410255</v>
      </c>
      <c r="F10">
        <f t="shared" si="3"/>
        <v>0.88888888888888884</v>
      </c>
    </row>
    <row r="11" spans="1:6" x14ac:dyDescent="0.25">
      <c r="A11" t="s">
        <v>98</v>
      </c>
      <c r="B11" s="9">
        <f t="shared" si="1"/>
        <v>45726</v>
      </c>
      <c r="C11">
        <v>10</v>
      </c>
      <c r="D11">
        <f t="shared" si="0"/>
        <v>12.820512820512819</v>
      </c>
      <c r="E11">
        <f t="shared" si="2"/>
        <v>10.897435897435896</v>
      </c>
      <c r="F11">
        <f t="shared" si="3"/>
        <v>0.85</v>
      </c>
    </row>
    <row r="12" spans="1:6" x14ac:dyDescent="0.25">
      <c r="A12" t="s">
        <v>99</v>
      </c>
      <c r="B12" s="9">
        <f t="shared" si="1"/>
        <v>45733</v>
      </c>
      <c r="C12">
        <v>11</v>
      </c>
      <c r="D12">
        <f t="shared" si="0"/>
        <v>14.102564102564102</v>
      </c>
      <c r="E12">
        <f t="shared" si="2"/>
        <v>11.987179487179487</v>
      </c>
      <c r="F12">
        <f t="shared" si="3"/>
        <v>0.85</v>
      </c>
    </row>
    <row r="13" spans="1:6" x14ac:dyDescent="0.25">
      <c r="A13" t="s">
        <v>100</v>
      </c>
      <c r="B13" s="9">
        <f t="shared" si="1"/>
        <v>45740</v>
      </c>
      <c r="C13">
        <v>12</v>
      </c>
      <c r="D13">
        <f t="shared" si="0"/>
        <v>15.384615384615385</v>
      </c>
      <c r="E13">
        <f t="shared" si="2"/>
        <v>13.076923076923077</v>
      </c>
      <c r="F13">
        <f t="shared" si="3"/>
        <v>0.85</v>
      </c>
    </row>
    <row r="14" spans="1:6" x14ac:dyDescent="0.25">
      <c r="A14" t="s">
        <v>101</v>
      </c>
      <c r="B14" s="9">
        <f t="shared" si="1"/>
        <v>45747</v>
      </c>
      <c r="C14">
        <v>13</v>
      </c>
      <c r="D14">
        <f t="shared" si="0"/>
        <v>16.666666666666664</v>
      </c>
      <c r="E14">
        <f t="shared" si="2"/>
        <v>14.166666666666664</v>
      </c>
      <c r="F14">
        <f t="shared" si="3"/>
        <v>0.85</v>
      </c>
    </row>
    <row r="15" spans="1:6" x14ac:dyDescent="0.25">
      <c r="A15" t="s">
        <v>102</v>
      </c>
      <c r="B15" s="9">
        <f t="shared" si="1"/>
        <v>45754</v>
      </c>
      <c r="C15">
        <v>14</v>
      </c>
      <c r="D15">
        <f t="shared" si="0"/>
        <v>17.948717948717949</v>
      </c>
      <c r="E15">
        <f t="shared" si="2"/>
        <v>15.256410256410255</v>
      </c>
      <c r="F15">
        <f t="shared" si="3"/>
        <v>0.85</v>
      </c>
    </row>
    <row r="16" spans="1:6" x14ac:dyDescent="0.25">
      <c r="A16" t="s">
        <v>103</v>
      </c>
      <c r="B16" s="9">
        <f t="shared" si="1"/>
        <v>45761</v>
      </c>
      <c r="C16">
        <v>15</v>
      </c>
      <c r="D16">
        <f t="shared" si="0"/>
        <v>19.230769230769234</v>
      </c>
      <c r="E16">
        <f t="shared" si="2"/>
        <v>16.346153846153847</v>
      </c>
      <c r="F16">
        <f t="shared" si="3"/>
        <v>0.84999999999999987</v>
      </c>
    </row>
    <row r="17" spans="1:6" x14ac:dyDescent="0.25">
      <c r="A17" t="s">
        <v>104</v>
      </c>
      <c r="B17" s="9">
        <f t="shared" si="1"/>
        <v>45768</v>
      </c>
      <c r="C17">
        <v>16</v>
      </c>
      <c r="D17">
        <f t="shared" si="0"/>
        <v>20.512820512820511</v>
      </c>
      <c r="E17">
        <f t="shared" si="2"/>
        <v>17.435897435897434</v>
      </c>
      <c r="F17">
        <f t="shared" si="3"/>
        <v>0.85</v>
      </c>
    </row>
    <row r="18" spans="1:6" x14ac:dyDescent="0.25">
      <c r="A18" t="s">
        <v>105</v>
      </c>
      <c r="B18" s="9">
        <f t="shared" si="1"/>
        <v>45775</v>
      </c>
      <c r="C18">
        <v>17</v>
      </c>
      <c r="D18">
        <f t="shared" si="0"/>
        <v>21.794871794871796</v>
      </c>
      <c r="E18">
        <f t="shared" si="2"/>
        <v>18.525641025641026</v>
      </c>
      <c r="F18">
        <f t="shared" si="3"/>
        <v>0.85</v>
      </c>
    </row>
    <row r="19" spans="1:6" x14ac:dyDescent="0.25">
      <c r="A19" t="s">
        <v>106</v>
      </c>
      <c r="B19" s="9">
        <f t="shared" si="1"/>
        <v>45782</v>
      </c>
      <c r="C19">
        <v>18</v>
      </c>
      <c r="D19">
        <f t="shared" si="0"/>
        <v>23.076923076923077</v>
      </c>
      <c r="E19">
        <f t="shared" si="2"/>
        <v>19.615384615384613</v>
      </c>
      <c r="F19">
        <f t="shared" si="3"/>
        <v>0.84999999999999987</v>
      </c>
    </row>
    <row r="20" spans="1:6" x14ac:dyDescent="0.25">
      <c r="A20" t="s">
        <v>107</v>
      </c>
      <c r="B20" s="9">
        <f t="shared" si="1"/>
        <v>45789</v>
      </c>
      <c r="C20">
        <v>19</v>
      </c>
      <c r="D20">
        <f t="shared" si="0"/>
        <v>24.358974358974358</v>
      </c>
      <c r="E20">
        <f t="shared" si="2"/>
        <v>20.705128205128204</v>
      </c>
      <c r="F20">
        <f t="shared" si="3"/>
        <v>0.85</v>
      </c>
    </row>
    <row r="21" spans="1:6" x14ac:dyDescent="0.25">
      <c r="A21" t="s">
        <v>108</v>
      </c>
      <c r="B21" s="9">
        <f t="shared" si="1"/>
        <v>45796</v>
      </c>
      <c r="C21">
        <v>20</v>
      </c>
      <c r="D21">
        <f t="shared" si="0"/>
        <v>25.641025641025639</v>
      </c>
      <c r="E21">
        <f t="shared" si="2"/>
        <v>21.794871794871792</v>
      </c>
      <c r="F21">
        <f t="shared" si="3"/>
        <v>0.85</v>
      </c>
    </row>
    <row r="22" spans="1:6" x14ac:dyDescent="0.25">
      <c r="A22" t="s">
        <v>109</v>
      </c>
      <c r="B22" s="9">
        <f t="shared" si="1"/>
        <v>45803</v>
      </c>
      <c r="C22">
        <v>21</v>
      </c>
      <c r="D22">
        <f t="shared" si="0"/>
        <v>26.923076923076923</v>
      </c>
      <c r="E22">
        <f t="shared" si="2"/>
        <v>22.884615384615383</v>
      </c>
      <c r="F22">
        <f t="shared" si="3"/>
        <v>0.85</v>
      </c>
    </row>
    <row r="23" spans="1:6" x14ac:dyDescent="0.25">
      <c r="A23" t="s">
        <v>110</v>
      </c>
      <c r="B23" s="9">
        <f t="shared" si="1"/>
        <v>45810</v>
      </c>
      <c r="C23">
        <v>22</v>
      </c>
      <c r="D23">
        <f t="shared" si="0"/>
        <v>28.205128205128204</v>
      </c>
      <c r="E23">
        <f t="shared" si="2"/>
        <v>23.974358974358974</v>
      </c>
      <c r="F23">
        <f t="shared" si="3"/>
        <v>0.85</v>
      </c>
    </row>
    <row r="24" spans="1:6" x14ac:dyDescent="0.25">
      <c r="A24" t="s">
        <v>111</v>
      </c>
      <c r="B24" s="9">
        <f t="shared" si="1"/>
        <v>45817</v>
      </c>
      <c r="C24">
        <v>23</v>
      </c>
      <c r="D24">
        <f t="shared" si="0"/>
        <v>29.487179487179489</v>
      </c>
      <c r="E24">
        <f t="shared" si="2"/>
        <v>25.064102564102566</v>
      </c>
      <c r="F24">
        <f t="shared" si="3"/>
        <v>0.85</v>
      </c>
    </row>
    <row r="25" spans="1:6" x14ac:dyDescent="0.25">
      <c r="A25" t="s">
        <v>112</v>
      </c>
      <c r="B25" s="9">
        <f t="shared" si="1"/>
        <v>45824</v>
      </c>
      <c r="C25">
        <v>24</v>
      </c>
      <c r="D25">
        <f t="shared" si="0"/>
        <v>30.76923076923077</v>
      </c>
      <c r="E25">
        <f t="shared" si="2"/>
        <v>26.153846153846153</v>
      </c>
      <c r="F25">
        <f t="shared" si="3"/>
        <v>0.85</v>
      </c>
    </row>
    <row r="26" spans="1:6" x14ac:dyDescent="0.25">
      <c r="A26" t="s">
        <v>113</v>
      </c>
      <c r="B26" s="9">
        <f t="shared" si="1"/>
        <v>45831</v>
      </c>
      <c r="C26">
        <v>25</v>
      </c>
      <c r="D26">
        <f t="shared" si="0"/>
        <v>32.051282051282051</v>
      </c>
      <c r="E26">
        <f t="shared" si="2"/>
        <v>27.243589743589741</v>
      </c>
      <c r="F26">
        <f t="shared" si="3"/>
        <v>0.85</v>
      </c>
    </row>
    <row r="27" spans="1:6" x14ac:dyDescent="0.25">
      <c r="A27" t="s">
        <v>114</v>
      </c>
      <c r="B27" s="9">
        <f t="shared" si="1"/>
        <v>45838</v>
      </c>
      <c r="C27">
        <v>26</v>
      </c>
      <c r="D27">
        <f t="shared" si="0"/>
        <v>33.333333333333329</v>
      </c>
      <c r="E27">
        <f t="shared" si="2"/>
        <v>28.333333333333329</v>
      </c>
      <c r="F27">
        <f t="shared" si="3"/>
        <v>0.85</v>
      </c>
    </row>
    <row r="28" spans="1:6" x14ac:dyDescent="0.25">
      <c r="A28" t="s">
        <v>115</v>
      </c>
      <c r="B28" s="9">
        <f t="shared" si="1"/>
        <v>45845</v>
      </c>
      <c r="C28">
        <v>27</v>
      </c>
      <c r="D28">
        <f t="shared" si="0"/>
        <v>34.615384615384613</v>
      </c>
      <c r="E28">
        <f t="shared" si="2"/>
        <v>31.153846153846153</v>
      </c>
      <c r="F28">
        <f t="shared" si="3"/>
        <v>0.9</v>
      </c>
    </row>
    <row r="29" spans="1:6" x14ac:dyDescent="0.25">
      <c r="A29" t="s">
        <v>116</v>
      </c>
      <c r="B29" s="9">
        <f t="shared" si="1"/>
        <v>45852</v>
      </c>
      <c r="C29">
        <v>28</v>
      </c>
      <c r="D29">
        <f t="shared" si="0"/>
        <v>35.897435897435898</v>
      </c>
      <c r="E29">
        <f t="shared" si="2"/>
        <v>32.307692307692307</v>
      </c>
      <c r="F29">
        <f t="shared" si="3"/>
        <v>0.89999999999999991</v>
      </c>
    </row>
    <row r="30" spans="1:6" x14ac:dyDescent="0.25">
      <c r="A30" t="s">
        <v>117</v>
      </c>
      <c r="B30" s="9">
        <f t="shared" si="1"/>
        <v>45859</v>
      </c>
      <c r="C30">
        <v>29</v>
      </c>
      <c r="D30">
        <f t="shared" si="0"/>
        <v>37.179487179487182</v>
      </c>
      <c r="E30">
        <f t="shared" si="2"/>
        <v>33.461538461538467</v>
      </c>
      <c r="F30">
        <f t="shared" si="3"/>
        <v>0.9</v>
      </c>
    </row>
    <row r="31" spans="1:6" x14ac:dyDescent="0.25">
      <c r="A31" t="s">
        <v>118</v>
      </c>
      <c r="B31" s="9">
        <f t="shared" si="1"/>
        <v>45866</v>
      </c>
      <c r="C31">
        <v>30</v>
      </c>
      <c r="D31">
        <f t="shared" si="0"/>
        <v>38.461538461538467</v>
      </c>
      <c r="E31">
        <f t="shared" si="2"/>
        <v>34.61538461538462</v>
      </c>
      <c r="F31">
        <f t="shared" si="3"/>
        <v>0.9</v>
      </c>
    </row>
    <row r="32" spans="1:6" x14ac:dyDescent="0.25">
      <c r="A32" t="s">
        <v>119</v>
      </c>
      <c r="B32" s="9">
        <f t="shared" si="1"/>
        <v>45873</v>
      </c>
      <c r="C32">
        <v>31</v>
      </c>
      <c r="D32">
        <f t="shared" si="0"/>
        <v>39.743589743589745</v>
      </c>
      <c r="E32">
        <f t="shared" si="2"/>
        <v>35.769230769230774</v>
      </c>
      <c r="F32">
        <f t="shared" si="3"/>
        <v>0.90000000000000013</v>
      </c>
    </row>
    <row r="33" spans="1:6" x14ac:dyDescent="0.25">
      <c r="A33" t="s">
        <v>120</v>
      </c>
      <c r="B33" s="9">
        <f t="shared" si="1"/>
        <v>45880</v>
      </c>
      <c r="C33">
        <v>32</v>
      </c>
      <c r="D33">
        <f t="shared" si="0"/>
        <v>41.025641025641022</v>
      </c>
      <c r="E33">
        <f t="shared" si="2"/>
        <v>36.92307692307692</v>
      </c>
      <c r="F33">
        <f t="shared" si="3"/>
        <v>0.9</v>
      </c>
    </row>
    <row r="34" spans="1:6" x14ac:dyDescent="0.25">
      <c r="A34" t="s">
        <v>121</v>
      </c>
      <c r="B34" s="9">
        <f t="shared" si="1"/>
        <v>45887</v>
      </c>
      <c r="C34">
        <v>33</v>
      </c>
      <c r="D34">
        <f t="shared" si="0"/>
        <v>42.307692307692307</v>
      </c>
      <c r="E34">
        <f t="shared" si="2"/>
        <v>38.07692307692308</v>
      </c>
      <c r="F34">
        <f t="shared" si="3"/>
        <v>0.90000000000000013</v>
      </c>
    </row>
    <row r="35" spans="1:6" x14ac:dyDescent="0.25">
      <c r="A35" t="s">
        <v>122</v>
      </c>
      <c r="B35" s="9">
        <f t="shared" si="1"/>
        <v>45894</v>
      </c>
      <c r="C35">
        <v>34</v>
      </c>
      <c r="D35">
        <f t="shared" si="0"/>
        <v>43.589743589743591</v>
      </c>
      <c r="E35">
        <f t="shared" si="2"/>
        <v>39.230769230769234</v>
      </c>
      <c r="F35">
        <f t="shared" si="3"/>
        <v>0.9</v>
      </c>
    </row>
    <row r="36" spans="1:6" x14ac:dyDescent="0.25">
      <c r="A36" t="s">
        <v>123</v>
      </c>
      <c r="B36" s="9">
        <f t="shared" si="1"/>
        <v>45901</v>
      </c>
      <c r="C36">
        <v>35</v>
      </c>
      <c r="D36">
        <f t="shared" si="0"/>
        <v>44.871794871794876</v>
      </c>
      <c r="E36">
        <f t="shared" si="2"/>
        <v>40.384615384615387</v>
      </c>
      <c r="F36">
        <f t="shared" si="3"/>
        <v>0.9</v>
      </c>
    </row>
    <row r="37" spans="1:6" x14ac:dyDescent="0.25">
      <c r="A37" t="s">
        <v>124</v>
      </c>
      <c r="B37" s="9">
        <f t="shared" si="1"/>
        <v>45908</v>
      </c>
      <c r="C37">
        <v>36</v>
      </c>
      <c r="D37">
        <f t="shared" si="0"/>
        <v>46.153846153846153</v>
      </c>
      <c r="E37">
        <f t="shared" si="2"/>
        <v>41.53846153846154</v>
      </c>
      <c r="F37">
        <f t="shared" si="3"/>
        <v>0.9</v>
      </c>
    </row>
    <row r="38" spans="1:6" x14ac:dyDescent="0.25">
      <c r="A38" t="s">
        <v>125</v>
      </c>
      <c r="B38" s="9">
        <f t="shared" si="1"/>
        <v>45915</v>
      </c>
      <c r="C38">
        <v>37</v>
      </c>
      <c r="D38">
        <f t="shared" si="0"/>
        <v>47.435897435897431</v>
      </c>
      <c r="E38">
        <f t="shared" si="2"/>
        <v>42.692307692307686</v>
      </c>
      <c r="F38">
        <f t="shared" si="3"/>
        <v>0.9</v>
      </c>
    </row>
    <row r="39" spans="1:6" x14ac:dyDescent="0.25">
      <c r="A39" t="s">
        <v>126</v>
      </c>
      <c r="B39" s="9">
        <f t="shared" si="1"/>
        <v>45922</v>
      </c>
      <c r="C39">
        <v>38</v>
      </c>
      <c r="D39">
        <f t="shared" si="0"/>
        <v>48.717948717948715</v>
      </c>
      <c r="E39">
        <f t="shared" si="2"/>
        <v>43.846153846153847</v>
      </c>
      <c r="F39">
        <f t="shared" si="3"/>
        <v>0.9</v>
      </c>
    </row>
    <row r="40" spans="1:6" x14ac:dyDescent="0.25">
      <c r="A40" t="s">
        <v>127</v>
      </c>
      <c r="B40" s="9">
        <f t="shared" si="1"/>
        <v>45929</v>
      </c>
      <c r="C40">
        <v>39</v>
      </c>
      <c r="D40">
        <f t="shared" si="0"/>
        <v>50</v>
      </c>
      <c r="E40">
        <f t="shared" si="2"/>
        <v>45</v>
      </c>
      <c r="F40">
        <f t="shared" si="3"/>
        <v>0.9</v>
      </c>
    </row>
    <row r="41" spans="1:6" x14ac:dyDescent="0.25">
      <c r="A41" t="s">
        <v>128</v>
      </c>
      <c r="B41" s="9">
        <f t="shared" si="1"/>
        <v>45936</v>
      </c>
      <c r="C41">
        <v>40</v>
      </c>
      <c r="D41">
        <f t="shared" si="0"/>
        <v>51.282051282051277</v>
      </c>
      <c r="E41">
        <f t="shared" si="2"/>
        <v>46.153846153846153</v>
      </c>
      <c r="F41">
        <f t="shared" si="3"/>
        <v>0.9</v>
      </c>
    </row>
    <row r="42" spans="1:6" x14ac:dyDescent="0.25">
      <c r="A42" t="s">
        <v>129</v>
      </c>
      <c r="B42" s="9">
        <f t="shared" si="1"/>
        <v>45943</v>
      </c>
      <c r="C42">
        <v>41</v>
      </c>
      <c r="D42">
        <f t="shared" si="0"/>
        <v>52.564102564102569</v>
      </c>
      <c r="E42">
        <f t="shared" si="2"/>
        <v>49.935897435897438</v>
      </c>
      <c r="F42">
        <f t="shared" si="3"/>
        <v>0.95</v>
      </c>
    </row>
    <row r="43" spans="1:6" x14ac:dyDescent="0.25">
      <c r="A43" t="s">
        <v>130</v>
      </c>
      <c r="B43" s="9">
        <f t="shared" si="1"/>
        <v>45950</v>
      </c>
      <c r="C43">
        <v>42</v>
      </c>
      <c r="D43">
        <f t="shared" si="0"/>
        <v>53.846153846153847</v>
      </c>
      <c r="E43">
        <f t="shared" si="2"/>
        <v>51.153846153846153</v>
      </c>
      <c r="F43">
        <f t="shared" si="3"/>
        <v>0.95</v>
      </c>
    </row>
    <row r="44" spans="1:6" x14ac:dyDescent="0.25">
      <c r="A44" t="s">
        <v>131</v>
      </c>
      <c r="B44" s="9">
        <f t="shared" si="1"/>
        <v>45957</v>
      </c>
      <c r="C44">
        <v>43</v>
      </c>
      <c r="D44">
        <f t="shared" si="0"/>
        <v>55.128205128205131</v>
      </c>
      <c r="E44">
        <f t="shared" si="2"/>
        <v>52.371794871794876</v>
      </c>
      <c r="F44">
        <f t="shared" si="3"/>
        <v>0.95000000000000007</v>
      </c>
    </row>
    <row r="45" spans="1:6" x14ac:dyDescent="0.25">
      <c r="A45" t="s">
        <v>132</v>
      </c>
      <c r="B45" s="9">
        <f t="shared" si="1"/>
        <v>45964</v>
      </c>
      <c r="C45">
        <v>44</v>
      </c>
      <c r="D45">
        <f t="shared" si="0"/>
        <v>56.410256410256409</v>
      </c>
      <c r="E45">
        <f t="shared" si="2"/>
        <v>53.589743589743584</v>
      </c>
      <c r="F45">
        <f t="shared" si="3"/>
        <v>0.95</v>
      </c>
    </row>
    <row r="46" spans="1:6" x14ac:dyDescent="0.25">
      <c r="A46" t="s">
        <v>133</v>
      </c>
      <c r="B46" s="9">
        <f t="shared" si="1"/>
        <v>45971</v>
      </c>
      <c r="C46">
        <v>45</v>
      </c>
      <c r="D46">
        <f t="shared" si="0"/>
        <v>57.692307692307686</v>
      </c>
      <c r="E46">
        <f t="shared" si="2"/>
        <v>54.807692307692299</v>
      </c>
      <c r="F46">
        <f t="shared" si="3"/>
        <v>0.95</v>
      </c>
    </row>
    <row r="47" spans="1:6" x14ac:dyDescent="0.25">
      <c r="A47" t="s">
        <v>134</v>
      </c>
      <c r="B47" s="9">
        <f t="shared" si="1"/>
        <v>45978</v>
      </c>
      <c r="C47">
        <v>46</v>
      </c>
      <c r="D47">
        <f t="shared" si="0"/>
        <v>58.974358974358978</v>
      </c>
      <c r="E47">
        <f t="shared" si="2"/>
        <v>56.025641025641029</v>
      </c>
      <c r="F47">
        <f t="shared" si="3"/>
        <v>0.95</v>
      </c>
    </row>
    <row r="48" spans="1:6" x14ac:dyDescent="0.25">
      <c r="A48" t="s">
        <v>135</v>
      </c>
      <c r="B48" s="9">
        <f t="shared" si="1"/>
        <v>45985</v>
      </c>
      <c r="C48">
        <v>47</v>
      </c>
      <c r="D48">
        <f t="shared" si="0"/>
        <v>60.256410256410255</v>
      </c>
      <c r="E48">
        <f t="shared" si="2"/>
        <v>57.243589743589737</v>
      </c>
      <c r="F48">
        <f t="shared" si="3"/>
        <v>0.95</v>
      </c>
    </row>
    <row r="49" spans="1:6" x14ac:dyDescent="0.25">
      <c r="A49" t="s">
        <v>136</v>
      </c>
      <c r="B49" s="9">
        <f t="shared" si="1"/>
        <v>45992</v>
      </c>
      <c r="C49">
        <v>48</v>
      </c>
      <c r="D49">
        <f t="shared" si="0"/>
        <v>61.53846153846154</v>
      </c>
      <c r="E49">
        <f t="shared" si="2"/>
        <v>58.46153846153846</v>
      </c>
      <c r="F49">
        <f t="shared" si="3"/>
        <v>0.95</v>
      </c>
    </row>
    <row r="50" spans="1:6" x14ac:dyDescent="0.25">
      <c r="A50" t="s">
        <v>137</v>
      </c>
      <c r="B50" s="9">
        <f t="shared" si="1"/>
        <v>45999</v>
      </c>
      <c r="C50">
        <v>49</v>
      </c>
      <c r="D50">
        <f t="shared" si="0"/>
        <v>62.820512820512818</v>
      </c>
      <c r="E50">
        <f t="shared" si="2"/>
        <v>59.679487179487175</v>
      </c>
      <c r="F50">
        <f t="shared" si="3"/>
        <v>0.95</v>
      </c>
    </row>
    <row r="51" spans="1:6" x14ac:dyDescent="0.25">
      <c r="A51" t="s">
        <v>138</v>
      </c>
      <c r="B51" s="9">
        <f t="shared" si="1"/>
        <v>46006</v>
      </c>
      <c r="C51">
        <v>50</v>
      </c>
      <c r="D51">
        <f t="shared" si="0"/>
        <v>64.102564102564102</v>
      </c>
      <c r="E51">
        <f t="shared" si="2"/>
        <v>60.897435897435891</v>
      </c>
      <c r="F51">
        <f t="shared" si="3"/>
        <v>0.95</v>
      </c>
    </row>
    <row r="52" spans="1:6" x14ac:dyDescent="0.25">
      <c r="A52" t="s">
        <v>139</v>
      </c>
      <c r="B52" s="9">
        <f t="shared" si="1"/>
        <v>46013</v>
      </c>
      <c r="C52">
        <v>51</v>
      </c>
      <c r="D52">
        <f t="shared" si="0"/>
        <v>65.384615384615387</v>
      </c>
      <c r="E52">
        <f t="shared" si="2"/>
        <v>62.115384615384613</v>
      </c>
      <c r="F52">
        <f t="shared" si="3"/>
        <v>0.95</v>
      </c>
    </row>
    <row r="53" spans="1:6" x14ac:dyDescent="0.25">
      <c r="A53" t="s">
        <v>140</v>
      </c>
      <c r="B53" s="9">
        <f t="shared" si="1"/>
        <v>46020</v>
      </c>
      <c r="C53">
        <v>52</v>
      </c>
      <c r="D53">
        <f t="shared" si="0"/>
        <v>66.666666666666657</v>
      </c>
      <c r="E53">
        <f t="shared" si="2"/>
        <v>63.333333333333321</v>
      </c>
      <c r="F53">
        <f t="shared" si="3"/>
        <v>0.95</v>
      </c>
    </row>
    <row r="54" spans="1:6" x14ac:dyDescent="0.25">
      <c r="A54" t="s">
        <v>141</v>
      </c>
      <c r="B54" s="9">
        <f t="shared" si="1"/>
        <v>46027</v>
      </c>
      <c r="C54">
        <v>53</v>
      </c>
      <c r="D54">
        <f t="shared" si="0"/>
        <v>67.948717948717956</v>
      </c>
      <c r="E54">
        <f t="shared" si="2"/>
        <v>64.551282051282058</v>
      </c>
      <c r="F54">
        <f t="shared" si="3"/>
        <v>0.95</v>
      </c>
    </row>
    <row r="55" spans="1:6" x14ac:dyDescent="0.25">
      <c r="A55" t="s">
        <v>142</v>
      </c>
      <c r="B55" s="9">
        <f t="shared" si="1"/>
        <v>46034</v>
      </c>
      <c r="C55">
        <v>54</v>
      </c>
      <c r="D55">
        <f t="shared" si="0"/>
        <v>69.230769230769226</v>
      </c>
      <c r="E55">
        <f t="shared" si="2"/>
        <v>65.769230769230759</v>
      </c>
      <c r="F55">
        <f t="shared" si="3"/>
        <v>0.95</v>
      </c>
    </row>
    <row r="56" spans="1:6" x14ac:dyDescent="0.25">
      <c r="A56" t="s">
        <v>145</v>
      </c>
      <c r="B56" s="9">
        <v>46041</v>
      </c>
      <c r="C56">
        <v>55</v>
      </c>
      <c r="D56">
        <v>70.512821000000002</v>
      </c>
      <c r="E56">
        <f t="shared" si="2"/>
        <v>66.987179949999998</v>
      </c>
      <c r="F56">
        <f t="shared" si="3"/>
        <v>0.95</v>
      </c>
    </row>
    <row r="57" spans="1:6" x14ac:dyDescent="0.25">
      <c r="A57" t="s">
        <v>146</v>
      </c>
      <c r="B57" s="9">
        <v>46048</v>
      </c>
      <c r="C57">
        <v>56</v>
      </c>
      <c r="D57">
        <v>71.794871999999998</v>
      </c>
      <c r="E57">
        <f t="shared" si="2"/>
        <v>68.205128399999992</v>
      </c>
      <c r="F57">
        <f t="shared" si="3"/>
        <v>0.95</v>
      </c>
    </row>
    <row r="58" spans="1:6" x14ac:dyDescent="0.25">
      <c r="A58" t="s">
        <v>147</v>
      </c>
      <c r="B58" s="9">
        <v>46055</v>
      </c>
      <c r="C58">
        <v>57</v>
      </c>
      <c r="D58">
        <v>73.076922999999994</v>
      </c>
      <c r="E58">
        <f t="shared" si="2"/>
        <v>69.423076849999987</v>
      </c>
      <c r="F58">
        <f t="shared" si="3"/>
        <v>0.95</v>
      </c>
    </row>
    <row r="59" spans="1:6" x14ac:dyDescent="0.25">
      <c r="A59" t="s">
        <v>148</v>
      </c>
      <c r="B59" s="9">
        <v>46062</v>
      </c>
      <c r="C59">
        <v>58</v>
      </c>
      <c r="D59">
        <v>74.358974000000003</v>
      </c>
      <c r="E59">
        <f t="shared" si="2"/>
        <v>70.641025299999995</v>
      </c>
      <c r="F59">
        <f t="shared" si="3"/>
        <v>0.94999999999999984</v>
      </c>
    </row>
    <row r="60" spans="1:6" x14ac:dyDescent="0.25">
      <c r="A60" t="s">
        <v>149</v>
      </c>
      <c r="B60" s="9">
        <v>46069</v>
      </c>
      <c r="C60">
        <v>59</v>
      </c>
      <c r="D60">
        <v>75.641025999999997</v>
      </c>
      <c r="E60">
        <f t="shared" si="2"/>
        <v>71.85897469999999</v>
      </c>
      <c r="F60">
        <f t="shared" si="3"/>
        <v>0.95</v>
      </c>
    </row>
    <row r="61" spans="1:6" x14ac:dyDescent="0.25">
      <c r="A61" t="s">
        <v>150</v>
      </c>
      <c r="B61" s="9">
        <v>46076</v>
      </c>
      <c r="C61">
        <v>60</v>
      </c>
      <c r="D61">
        <v>76.923077000000006</v>
      </c>
      <c r="E61">
        <f t="shared" si="2"/>
        <v>73.076923149999999</v>
      </c>
      <c r="F61">
        <f t="shared" si="3"/>
        <v>0.95</v>
      </c>
    </row>
    <row r="62" spans="1:6" x14ac:dyDescent="0.25">
      <c r="A62" t="s">
        <v>151</v>
      </c>
      <c r="B62" s="9">
        <v>46083</v>
      </c>
      <c r="C62">
        <v>61</v>
      </c>
      <c r="D62">
        <v>78.205128000000002</v>
      </c>
      <c r="E62">
        <f t="shared" si="2"/>
        <v>74.294871599999993</v>
      </c>
      <c r="F62">
        <f t="shared" si="3"/>
        <v>0.94999999999999984</v>
      </c>
    </row>
    <row r="63" spans="1:6" x14ac:dyDescent="0.25">
      <c r="A63" t="s">
        <v>152</v>
      </c>
      <c r="B63" s="9">
        <v>46090</v>
      </c>
      <c r="C63">
        <v>62</v>
      </c>
      <c r="D63">
        <v>79.487178999999998</v>
      </c>
      <c r="E63">
        <f t="shared" si="2"/>
        <v>75.512820049999988</v>
      </c>
      <c r="F63">
        <f t="shared" si="3"/>
        <v>0.94999999999999984</v>
      </c>
    </row>
    <row r="64" spans="1:6" x14ac:dyDescent="0.25">
      <c r="A64" t="s">
        <v>153</v>
      </c>
      <c r="B64" s="9">
        <v>46097</v>
      </c>
      <c r="C64">
        <v>63</v>
      </c>
      <c r="D64">
        <v>80.769231000000005</v>
      </c>
      <c r="E64">
        <f t="shared" si="2"/>
        <v>76.730769449999997</v>
      </c>
      <c r="F64">
        <f t="shared" si="3"/>
        <v>0.95</v>
      </c>
    </row>
    <row r="65" spans="1:6" x14ac:dyDescent="0.25">
      <c r="A65" t="s">
        <v>154</v>
      </c>
      <c r="B65" s="9">
        <v>46104</v>
      </c>
      <c r="C65">
        <v>64</v>
      </c>
      <c r="D65">
        <v>82.051282</v>
      </c>
      <c r="E65">
        <f t="shared" si="2"/>
        <v>77.948717899999991</v>
      </c>
      <c r="F65">
        <f t="shared" si="3"/>
        <v>0.94999999999999984</v>
      </c>
    </row>
    <row r="66" spans="1:6" x14ac:dyDescent="0.25">
      <c r="A66" t="s">
        <v>155</v>
      </c>
      <c r="B66" s="9">
        <v>46111</v>
      </c>
      <c r="C66">
        <v>65</v>
      </c>
      <c r="D66">
        <v>83.333332999999996</v>
      </c>
      <c r="E66">
        <f t="shared" si="2"/>
        <v>79.166666349999986</v>
      </c>
      <c r="F66">
        <f t="shared" si="3"/>
        <v>0.94999999999999984</v>
      </c>
    </row>
    <row r="67" spans="1:6" x14ac:dyDescent="0.25">
      <c r="A67" t="s">
        <v>156</v>
      </c>
      <c r="B67" s="9">
        <v>46118</v>
      </c>
      <c r="C67">
        <v>66</v>
      </c>
      <c r="D67">
        <v>84.615385000000003</v>
      </c>
      <c r="E67">
        <f t="shared" ref="E67:E79" si="4">MAX(IF(C67&lt;=8,D67,IF(C67&lt;=26,D67*0.85,IF(C67&lt;=40,D67*0.9,D67*0.95))),E66)</f>
        <v>80.384615749999995</v>
      </c>
      <c r="F67">
        <f t="shared" ref="F67:F79" si="5">E67/D67</f>
        <v>0.94999999999999984</v>
      </c>
    </row>
    <row r="68" spans="1:6" x14ac:dyDescent="0.25">
      <c r="A68" t="s">
        <v>157</v>
      </c>
      <c r="B68" s="9">
        <v>46125</v>
      </c>
      <c r="C68">
        <v>67</v>
      </c>
      <c r="D68">
        <v>85.897435999999999</v>
      </c>
      <c r="E68">
        <f t="shared" si="4"/>
        <v>81.602564199999989</v>
      </c>
      <c r="F68">
        <f t="shared" si="5"/>
        <v>0.94999999999999984</v>
      </c>
    </row>
    <row r="69" spans="1:6" x14ac:dyDescent="0.25">
      <c r="A69" t="s">
        <v>158</v>
      </c>
      <c r="B69" s="9">
        <v>46132</v>
      </c>
      <c r="C69">
        <v>68</v>
      </c>
      <c r="D69">
        <v>87.179486999999995</v>
      </c>
      <c r="E69">
        <f t="shared" si="4"/>
        <v>82.820512649999998</v>
      </c>
      <c r="F69">
        <f t="shared" si="5"/>
        <v>0.95000000000000007</v>
      </c>
    </row>
    <row r="70" spans="1:6" x14ac:dyDescent="0.25">
      <c r="A70" t="s">
        <v>159</v>
      </c>
      <c r="B70" s="9">
        <v>46139</v>
      </c>
      <c r="C70">
        <v>69</v>
      </c>
      <c r="D70">
        <v>88.461538000000004</v>
      </c>
      <c r="E70">
        <f t="shared" si="4"/>
        <v>84.038461100000006</v>
      </c>
      <c r="F70">
        <f t="shared" si="5"/>
        <v>0.95000000000000007</v>
      </c>
    </row>
    <row r="71" spans="1:6" x14ac:dyDescent="0.25">
      <c r="A71" t="s">
        <v>160</v>
      </c>
      <c r="B71" s="9">
        <v>46146</v>
      </c>
      <c r="C71">
        <v>70</v>
      </c>
      <c r="D71">
        <v>89.743589999999998</v>
      </c>
      <c r="E71">
        <f t="shared" si="4"/>
        <v>85.256410499999987</v>
      </c>
      <c r="F71">
        <f t="shared" si="5"/>
        <v>0.94999999999999984</v>
      </c>
    </row>
    <row r="72" spans="1:6" x14ac:dyDescent="0.25">
      <c r="A72" t="s">
        <v>161</v>
      </c>
      <c r="B72" s="9">
        <v>46153</v>
      </c>
      <c r="C72">
        <v>71</v>
      </c>
      <c r="D72">
        <v>91.025640999999993</v>
      </c>
      <c r="E72">
        <f t="shared" si="4"/>
        <v>86.474358949999996</v>
      </c>
      <c r="F72">
        <f t="shared" si="5"/>
        <v>0.95000000000000007</v>
      </c>
    </row>
    <row r="73" spans="1:6" x14ac:dyDescent="0.25">
      <c r="A73" t="s">
        <v>162</v>
      </c>
      <c r="B73" s="9">
        <v>46160</v>
      </c>
      <c r="C73">
        <v>72</v>
      </c>
      <c r="D73">
        <v>92.307692000000003</v>
      </c>
      <c r="E73">
        <f t="shared" si="4"/>
        <v>87.692307400000004</v>
      </c>
      <c r="F73">
        <f t="shared" si="5"/>
        <v>0.95000000000000007</v>
      </c>
    </row>
    <row r="74" spans="1:6" x14ac:dyDescent="0.25">
      <c r="A74" t="s">
        <v>163</v>
      </c>
      <c r="B74" s="9">
        <v>46167</v>
      </c>
      <c r="C74">
        <v>73</v>
      </c>
      <c r="D74">
        <v>93.589743999999996</v>
      </c>
      <c r="E74">
        <f t="shared" si="4"/>
        <v>88.910256799999999</v>
      </c>
      <c r="F74">
        <f t="shared" si="5"/>
        <v>0.95000000000000007</v>
      </c>
    </row>
    <row r="75" spans="1:6" x14ac:dyDescent="0.25">
      <c r="A75" t="s">
        <v>164</v>
      </c>
      <c r="B75" s="9">
        <v>46174</v>
      </c>
      <c r="C75">
        <v>74</v>
      </c>
      <c r="D75">
        <v>94.871795000000006</v>
      </c>
      <c r="E75">
        <f t="shared" si="4"/>
        <v>90.128205250000008</v>
      </c>
      <c r="F75">
        <f t="shared" si="5"/>
        <v>0.95000000000000007</v>
      </c>
    </row>
    <row r="76" spans="1:6" x14ac:dyDescent="0.25">
      <c r="A76" t="s">
        <v>165</v>
      </c>
      <c r="B76" s="9">
        <v>46181</v>
      </c>
      <c r="C76">
        <v>75</v>
      </c>
      <c r="D76">
        <v>96.153846000000001</v>
      </c>
      <c r="E76">
        <f t="shared" si="4"/>
        <v>91.346153700000002</v>
      </c>
      <c r="F76">
        <f t="shared" si="5"/>
        <v>0.95</v>
      </c>
    </row>
    <row r="77" spans="1:6" x14ac:dyDescent="0.25">
      <c r="A77" t="s">
        <v>166</v>
      </c>
      <c r="B77" s="9">
        <v>46188</v>
      </c>
      <c r="C77">
        <v>76</v>
      </c>
      <c r="D77">
        <v>97.435896999999997</v>
      </c>
      <c r="E77">
        <f t="shared" si="4"/>
        <v>92.564102149999997</v>
      </c>
      <c r="F77">
        <f t="shared" si="5"/>
        <v>0.95</v>
      </c>
    </row>
    <row r="78" spans="1:6" x14ac:dyDescent="0.25">
      <c r="A78" t="s">
        <v>167</v>
      </c>
      <c r="B78" s="9">
        <v>46195</v>
      </c>
      <c r="C78">
        <v>77</v>
      </c>
      <c r="D78">
        <v>98.717949000000004</v>
      </c>
      <c r="E78">
        <f t="shared" si="4"/>
        <v>93.782051550000006</v>
      </c>
      <c r="F78">
        <f t="shared" si="5"/>
        <v>0.95000000000000007</v>
      </c>
    </row>
    <row r="79" spans="1:6" x14ac:dyDescent="0.25">
      <c r="A79" t="s">
        <v>168</v>
      </c>
      <c r="B79" s="9">
        <v>46202</v>
      </c>
      <c r="C79">
        <v>78</v>
      </c>
      <c r="D79">
        <v>100</v>
      </c>
      <c r="E79">
        <f t="shared" si="4"/>
        <v>95</v>
      </c>
      <c r="F79">
        <f t="shared" si="5"/>
        <v>0.95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Project_Info</vt:lpstr>
      <vt:lpstr>Cost_Details</vt:lpstr>
      <vt:lpstr>Planned_Cost_Details</vt:lpstr>
      <vt:lpstr>Project_Timeline</vt:lpstr>
      <vt:lpstr>Weekly_Progress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Agazada</dc:creator>
  <cp:lastModifiedBy>Jamila Agazada</cp:lastModifiedBy>
  <dcterms:created xsi:type="dcterms:W3CDTF">2026-01-12T09:00:34Z</dcterms:created>
  <dcterms:modified xsi:type="dcterms:W3CDTF">2026-02-17T15:13:11Z</dcterms:modified>
</cp:coreProperties>
</file>